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20" windowWidth="21015" windowHeight="946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12" i="2"/>
  <c r="F11"/>
  <c r="F10"/>
  <c r="F9"/>
</calcChain>
</file>

<file path=xl/sharedStrings.xml><?xml version="1.0" encoding="utf-8"?>
<sst xmlns="http://schemas.openxmlformats.org/spreadsheetml/2006/main" count="86" uniqueCount="44">
  <si>
    <t>DAYS</t>
  </si>
  <si>
    <t>MONDAY</t>
  </si>
  <si>
    <t>TUESDAY</t>
  </si>
  <si>
    <t>WEDNESDAY</t>
  </si>
  <si>
    <t>THURSDAY</t>
  </si>
  <si>
    <t>FRIDAY</t>
  </si>
  <si>
    <t>SATURDAY</t>
  </si>
  <si>
    <t>AI</t>
  </si>
  <si>
    <t>CRT</t>
  </si>
  <si>
    <t>NAMES</t>
  </si>
  <si>
    <t>ITEMS</t>
  </si>
  <si>
    <t>PRICES</t>
  </si>
  <si>
    <t>kanchana</t>
  </si>
  <si>
    <t>teju</t>
  </si>
  <si>
    <t>vasavi</t>
  </si>
  <si>
    <t>gani</t>
  </si>
  <si>
    <t>keerthi</t>
  </si>
  <si>
    <t>cake</t>
  </si>
  <si>
    <t>mixture</t>
  </si>
  <si>
    <t>noodles</t>
  </si>
  <si>
    <t>maggie</t>
  </si>
  <si>
    <t>total amount for cake</t>
  </si>
  <si>
    <t>it is &gt;45 is total amount</t>
  </si>
  <si>
    <t>it is total amount+100</t>
  </si>
  <si>
    <t>similar number will add</t>
  </si>
  <si>
    <t>sumif(range,criteria,sum-range</t>
  </si>
  <si>
    <t>9:00 -9:45</t>
  </si>
  <si>
    <t>10:45 - 11:30</t>
  </si>
  <si>
    <t>11:30 -12:15</t>
  </si>
  <si>
    <t>1:00 - 1:45</t>
  </si>
  <si>
    <t>1:45 - 2:30</t>
  </si>
  <si>
    <t>2:45 -3:30</t>
  </si>
  <si>
    <t>3:30 - 4:15</t>
  </si>
  <si>
    <t>TIME TABLE</t>
  </si>
  <si>
    <t>KANCHANA</t>
  </si>
  <si>
    <t>BREAK</t>
  </si>
  <si>
    <t>F.O.C</t>
  </si>
  <si>
    <t>LAB 3</t>
  </si>
  <si>
    <t>C PROGRAM</t>
  </si>
  <si>
    <t>ENGLISH</t>
  </si>
  <si>
    <t>CODING</t>
  </si>
  <si>
    <t>TEL/HIN</t>
  </si>
  <si>
    <t>LIBRARY</t>
  </si>
  <si>
    <t>LUNCH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</si>
</sst>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2"/>
      <color theme="7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10"/>
      <color theme="4" tint="0.59999389629810485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20"/>
      <color theme="4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 applyAlignment="1">
      <alignment wrapText="1"/>
    </xf>
    <xf numFmtId="0" fontId="1" fillId="0" borderId="0" xfId="0" applyFont="1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6" borderId="0" xfId="0" applyFont="1" applyFill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Fill="1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ill="1" applyBorder="1" applyAlignment="1">
      <alignment wrapText="1"/>
    </xf>
    <xf numFmtId="0" fontId="15" fillId="11" borderId="1" xfId="0" applyFont="1" applyFill="1" applyBorder="1" applyAlignment="1">
      <alignment wrapText="1"/>
    </xf>
    <xf numFmtId="0" fontId="7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 wrapText="1"/>
    </xf>
    <xf numFmtId="0" fontId="10" fillId="10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wrapText="1"/>
    </xf>
    <xf numFmtId="0" fontId="5" fillId="13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 wrapText="1"/>
    </xf>
    <xf numFmtId="0" fontId="4" fillId="1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 wrapText="1"/>
    </xf>
    <xf numFmtId="0" fontId="13" fillId="10" borderId="1" xfId="0" applyFont="1" applyFill="1" applyBorder="1"/>
    <xf numFmtId="0" fontId="13" fillId="10" borderId="1" xfId="0" applyFont="1" applyFill="1" applyBorder="1" applyAlignment="1">
      <alignment wrapText="1"/>
    </xf>
    <xf numFmtId="0" fontId="2" fillId="11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wrapText="1"/>
    </xf>
    <xf numFmtId="0" fontId="5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 wrapText="1"/>
    </xf>
    <xf numFmtId="0" fontId="16" fillId="9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wrapText="1"/>
    </xf>
    <xf numFmtId="0" fontId="15" fillId="3" borderId="1" xfId="0" applyFont="1" applyFill="1" applyBorder="1"/>
    <xf numFmtId="0" fontId="14" fillId="15" borderId="2" xfId="0" applyFont="1" applyFill="1" applyBorder="1"/>
    <xf numFmtId="0" fontId="9" fillId="15" borderId="4" xfId="0" applyFont="1" applyFill="1" applyBorder="1" applyAlignment="1">
      <alignment horizontal="center"/>
    </xf>
    <xf numFmtId="0" fontId="12" fillId="15" borderId="4" xfId="0" applyFont="1" applyFill="1" applyBorder="1" applyAlignment="1">
      <alignment horizontal="center"/>
    </xf>
    <xf numFmtId="0" fontId="9" fillId="15" borderId="6" xfId="0" applyFont="1" applyFill="1" applyBorder="1" applyAlignment="1">
      <alignment horizontal="center" wrapText="1"/>
    </xf>
    <xf numFmtId="0" fontId="15" fillId="14" borderId="2" xfId="0" applyFont="1" applyFill="1" applyBorder="1" applyAlignment="1">
      <alignment wrapText="1"/>
    </xf>
    <xf numFmtId="0" fontId="2" fillId="14" borderId="4" xfId="0" applyFont="1" applyFill="1" applyBorder="1" applyAlignment="1">
      <alignment horizontal="center"/>
    </xf>
    <xf numFmtId="0" fontId="17" fillId="14" borderId="4" xfId="0" applyFont="1" applyFill="1" applyBorder="1" applyAlignment="1">
      <alignment horizontal="center"/>
    </xf>
    <xf numFmtId="0" fontId="18" fillId="14" borderId="4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4" fillId="7" borderId="2" xfId="0" applyFont="1" applyFill="1" applyBorder="1" applyAlignment="1">
      <alignment wrapText="1"/>
    </xf>
    <xf numFmtId="0" fontId="6" fillId="7" borderId="4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</cellXfs>
  <cellStyles count="1">
    <cellStyle name="Normal" xfId="0" builtinId="0"/>
  </cellStyles>
  <dxfs count="11">
    <dxf>
      <font>
        <color theme="7" tint="-0.499984740745262"/>
      </font>
    </dxf>
    <dxf>
      <font>
        <color theme="7" tint="-0.24994659260841701"/>
      </font>
    </dxf>
    <dxf>
      <font>
        <color rgb="FF00B050"/>
      </font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0" indent="0" relativeIndent="0" justifyLastLine="0" shrinkToFit="0" mergeCell="0" readingOrder="0"/>
    </dxf>
    <dxf>
      <alignment horizontal="general" vertical="bottom" textRotation="0" wrapText="0" indent="0" relativeIndent="0" justifyLastLine="0" shrinkToFit="0" mergeCell="0" readingOrder="0"/>
    </dxf>
    <dxf>
      <alignment horizontal="general" vertical="bottom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scheme val="minor"/>
      </font>
      <alignment horizontal="general" vertical="bottom" textRotation="0" wrapText="1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E6:K18" totalsRowShown="0" headerRowDxfId="9" dataDxfId="8">
  <autoFilter ref="E6:K18"/>
  <tableColumns count="7">
    <tableColumn id="1" name="DAYS" dataDxfId="7"/>
    <tableColumn id="2" name="MONDAY"/>
    <tableColumn id="3" name="TUESDAY"/>
    <tableColumn id="4" name="WEDNESDAY" dataDxfId="6"/>
    <tableColumn id="5" name="THURSDAY" dataDxfId="5"/>
    <tableColumn id="6" name="FRIDAY" dataDxfId="4"/>
    <tableColumn id="7" name="SATURDAY" dataDxfId="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D3:F12" totalsRowShown="0">
  <autoFilter ref="D3:F12"/>
  <tableColumns count="3">
    <tableColumn id="1" name="NAMES"/>
    <tableColumn id="2" name="ITEMS"/>
    <tableColumn id="3" name="PRICES" dataDxfId="1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M166"/>
  <sheetViews>
    <sheetView tabSelected="1" topLeftCell="B2" workbookViewId="0">
      <selection activeCell="M18" sqref="M18"/>
    </sheetView>
  </sheetViews>
  <sheetFormatPr defaultRowHeight="15"/>
  <cols>
    <col min="1" max="1" width="11" customWidth="1"/>
    <col min="3" max="3" width="9.140625" style="1"/>
    <col min="5" max="5" width="16.42578125" style="1" customWidth="1"/>
    <col min="6" max="6" width="11.5703125" customWidth="1"/>
    <col min="7" max="7" width="11.28515625" customWidth="1"/>
    <col min="8" max="8" width="14.5703125" customWidth="1"/>
    <col min="9" max="9" width="12.7109375" customWidth="1"/>
    <col min="10" max="10" width="11.42578125" customWidth="1"/>
    <col min="11" max="11" width="12.7109375" style="1" customWidth="1"/>
    <col min="12" max="12" width="9.140625" customWidth="1"/>
  </cols>
  <sheetData>
    <row r="1" spans="2:11" ht="30" customHeight="1">
      <c r="D1" s="12"/>
    </row>
    <row r="2" spans="2:11">
      <c r="F2" s="13"/>
    </row>
    <row r="3" spans="2:11" ht="15.75" thickBot="1"/>
    <row r="4" spans="2:11" ht="15" customHeight="1" thickBot="1">
      <c r="B4" s="13"/>
      <c r="E4" s="36" t="s">
        <v>33</v>
      </c>
      <c r="F4" s="36"/>
      <c r="G4" s="36"/>
      <c r="H4" s="36"/>
      <c r="I4" s="36"/>
      <c r="J4" s="36"/>
      <c r="K4" s="36"/>
    </row>
    <row r="5" spans="2:11" ht="15" customHeight="1" thickBot="1">
      <c r="E5" s="36"/>
      <c r="F5" s="36"/>
      <c r="G5" s="36"/>
      <c r="H5" s="36"/>
      <c r="I5" s="36"/>
      <c r="J5" s="36"/>
      <c r="K5" s="36"/>
    </row>
    <row r="6" spans="2:11" ht="15.75" thickBot="1">
      <c r="E6" s="16" t="s">
        <v>0</v>
      </c>
      <c r="F6" s="30" t="s">
        <v>1</v>
      </c>
      <c r="G6" s="30" t="s">
        <v>2</v>
      </c>
      <c r="H6" s="31" t="s">
        <v>3</v>
      </c>
      <c r="I6" s="31" t="s">
        <v>4</v>
      </c>
      <c r="J6" s="30" t="s">
        <v>5</v>
      </c>
      <c r="K6" s="31" t="s">
        <v>6</v>
      </c>
    </row>
    <row r="7" spans="2:11" ht="15.75" thickBot="1">
      <c r="C7"/>
      <c r="E7" s="37" t="s">
        <v>26</v>
      </c>
      <c r="F7" s="17" t="s">
        <v>37</v>
      </c>
      <c r="G7" s="17" t="s">
        <v>37</v>
      </c>
      <c r="H7" s="18" t="s">
        <v>37</v>
      </c>
      <c r="I7" s="18" t="s">
        <v>37</v>
      </c>
      <c r="J7" s="18" t="s">
        <v>37</v>
      </c>
      <c r="K7" s="18" t="s">
        <v>37</v>
      </c>
    </row>
    <row r="8" spans="2:11" ht="15.75" thickBot="1">
      <c r="E8" s="37" t="s">
        <v>26</v>
      </c>
      <c r="F8" s="17" t="s">
        <v>37</v>
      </c>
      <c r="G8" s="17" t="s">
        <v>37</v>
      </c>
      <c r="H8" s="17" t="s">
        <v>37</v>
      </c>
      <c r="I8" s="17" t="s">
        <v>37</v>
      </c>
      <c r="J8" s="17" t="s">
        <v>37</v>
      </c>
      <c r="K8" s="19" t="s">
        <v>37</v>
      </c>
    </row>
    <row r="9" spans="2:11" ht="29.25" thickBot="1">
      <c r="E9" s="48"/>
      <c r="F9" s="49"/>
      <c r="G9" s="49"/>
      <c r="H9" s="51" t="s">
        <v>35</v>
      </c>
      <c r="I9" s="49"/>
      <c r="J9" s="49"/>
      <c r="K9" s="50"/>
    </row>
    <row r="10" spans="2:11" ht="15.75" thickBot="1">
      <c r="E10" s="37" t="s">
        <v>27</v>
      </c>
      <c r="F10" s="20" t="s">
        <v>38</v>
      </c>
      <c r="G10" s="20" t="s">
        <v>38</v>
      </c>
      <c r="H10" s="20" t="s">
        <v>38</v>
      </c>
      <c r="I10" s="20" t="s">
        <v>38</v>
      </c>
      <c r="J10" s="20" t="s">
        <v>38</v>
      </c>
      <c r="K10" s="21" t="s">
        <v>38</v>
      </c>
    </row>
    <row r="11" spans="2:11" ht="15.75" thickBot="1">
      <c r="E11" s="37" t="s">
        <v>28</v>
      </c>
      <c r="F11" s="22" t="s">
        <v>36</v>
      </c>
      <c r="G11" s="22" t="s">
        <v>36</v>
      </c>
      <c r="H11" s="22" t="s">
        <v>36</v>
      </c>
      <c r="I11" s="22" t="s">
        <v>36</v>
      </c>
      <c r="J11" s="22" t="s">
        <v>36</v>
      </c>
      <c r="K11" s="23" t="s">
        <v>36</v>
      </c>
    </row>
    <row r="12" spans="2:11" ht="29.25" thickBot="1">
      <c r="B12" s="14"/>
      <c r="C12"/>
      <c r="D12" s="3"/>
      <c r="E12" s="43"/>
      <c r="F12" s="44"/>
      <c r="G12" s="44"/>
      <c r="H12" s="45" t="s">
        <v>43</v>
      </c>
      <c r="I12" s="46"/>
      <c r="J12" s="44"/>
      <c r="K12" s="47"/>
    </row>
    <row r="13" spans="2:11" ht="15.75" thickBot="1">
      <c r="B13" s="1"/>
      <c r="C13"/>
      <c r="D13" s="3"/>
      <c r="E13" s="38" t="s">
        <v>29</v>
      </c>
      <c r="F13" s="24" t="s">
        <v>7</v>
      </c>
      <c r="G13" s="24" t="s">
        <v>7</v>
      </c>
      <c r="H13" s="24" t="s">
        <v>7</v>
      </c>
      <c r="I13" s="34" t="s">
        <v>42</v>
      </c>
      <c r="J13" s="35" t="s">
        <v>42</v>
      </c>
      <c r="K13" s="34" t="s">
        <v>42</v>
      </c>
    </row>
    <row r="14" spans="2:11" ht="15.75" thickBot="1">
      <c r="E14" s="37" t="s">
        <v>30</v>
      </c>
      <c r="F14" s="25" t="s">
        <v>8</v>
      </c>
      <c r="G14" s="25" t="s">
        <v>8</v>
      </c>
      <c r="H14" s="25" t="s">
        <v>8</v>
      </c>
      <c r="I14" s="25" t="s">
        <v>8</v>
      </c>
      <c r="J14" s="25" t="s">
        <v>8</v>
      </c>
      <c r="K14" s="26" t="s">
        <v>8</v>
      </c>
    </row>
    <row r="15" spans="2:11" ht="27" thickBot="1">
      <c r="E15" s="39"/>
      <c r="F15" s="40"/>
      <c r="G15" s="40"/>
      <c r="H15" s="41" t="s">
        <v>35</v>
      </c>
      <c r="I15" s="40"/>
      <c r="J15" s="40"/>
      <c r="K15" s="42"/>
    </row>
    <row r="16" spans="2:11" ht="15.75" thickBot="1">
      <c r="E16" s="38" t="s">
        <v>31</v>
      </c>
      <c r="F16" s="27" t="s">
        <v>39</v>
      </c>
      <c r="G16" s="27" t="s">
        <v>39</v>
      </c>
      <c r="H16" s="27" t="s">
        <v>39</v>
      </c>
      <c r="I16" s="27" t="s">
        <v>39</v>
      </c>
      <c r="J16" s="27" t="s">
        <v>39</v>
      </c>
      <c r="K16" s="29" t="s">
        <v>39</v>
      </c>
    </row>
    <row r="17" spans="5:13" ht="15.75" thickBot="1">
      <c r="E17" s="38" t="s">
        <v>32</v>
      </c>
      <c r="F17" s="28" t="s">
        <v>41</v>
      </c>
      <c r="G17" s="28" t="s">
        <v>41</v>
      </c>
      <c r="H17" s="28" t="s">
        <v>41</v>
      </c>
      <c r="I17" s="32" t="s">
        <v>40</v>
      </c>
      <c r="J17" s="32" t="s">
        <v>40</v>
      </c>
      <c r="K17" s="33" t="s">
        <v>40</v>
      </c>
    </row>
    <row r="18" spans="5:13">
      <c r="E18" s="15"/>
      <c r="F18" s="12"/>
      <c r="G18" s="12"/>
      <c r="H18" s="12"/>
      <c r="I18" s="12"/>
      <c r="J18" s="12"/>
      <c r="K18" s="15"/>
    </row>
    <row r="20" spans="5:13">
      <c r="K20" s="11" t="s">
        <v>34</v>
      </c>
    </row>
    <row r="21" spans="5:13">
      <c r="M21" s="10"/>
    </row>
    <row r="127" spans="6:6">
      <c r="F127" s="2"/>
    </row>
    <row r="128" spans="6:6">
      <c r="F128" s="2"/>
    </row>
    <row r="129" spans="6:6">
      <c r="F129" s="2"/>
    </row>
    <row r="166" spans="11:11">
      <c r="K166" s="2"/>
    </row>
  </sheetData>
  <mergeCells count="1">
    <mergeCell ref="E4:K5"/>
  </mergeCells>
  <conditionalFormatting sqref="F7:K8">
    <cfRule type="containsBlanks" dxfId="2" priority="1">
      <formula>LEN(TRIM(F7))=0</formula>
    </cfRule>
    <cfRule type="containsText" dxfId="1" priority="2" operator="containsText" text="lab">
      <formula>NOT(ISERROR(SEARCH("lab",F7)))</formula>
    </cfRule>
    <cfRule type="containsText" dxfId="0" priority="3" operator="containsText" text="lab">
      <formula>NOT(ISERROR(SEARCH("lab",F7)))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D2:H12"/>
  <sheetViews>
    <sheetView workbookViewId="0">
      <selection activeCell="E17" sqref="E17"/>
    </sheetView>
  </sheetViews>
  <sheetFormatPr defaultRowHeight="15"/>
  <cols>
    <col min="4" max="4" width="9.7109375" customWidth="1"/>
    <col min="5" max="5" width="28.28515625" style="1" customWidth="1"/>
    <col min="7" max="7" width="12.7109375" customWidth="1"/>
    <col min="8" max="8" width="8.5703125" customWidth="1"/>
  </cols>
  <sheetData>
    <row r="2" spans="4:8">
      <c r="E2" s="9" t="s">
        <v>25</v>
      </c>
    </row>
    <row r="3" spans="4:8">
      <c r="D3" s="4" t="s">
        <v>9</v>
      </c>
      <c r="E3" s="3" t="s">
        <v>10</v>
      </c>
      <c r="F3" s="4" t="s">
        <v>11</v>
      </c>
      <c r="G3" s="4"/>
      <c r="H3" s="4"/>
    </row>
    <row r="4" spans="4:8">
      <c r="D4" t="s">
        <v>12</v>
      </c>
      <c r="E4" s="1" t="s">
        <v>17</v>
      </c>
      <c r="F4">
        <v>45</v>
      </c>
    </row>
    <row r="5" spans="4:8">
      <c r="D5" t="s">
        <v>13</v>
      </c>
      <c r="E5" s="1" t="s">
        <v>18</v>
      </c>
      <c r="F5">
        <v>70</v>
      </c>
    </row>
    <row r="6" spans="4:8">
      <c r="D6" t="s">
        <v>14</v>
      </c>
      <c r="E6" s="1" t="s">
        <v>17</v>
      </c>
      <c r="F6">
        <v>45</v>
      </c>
    </row>
    <row r="7" spans="4:8">
      <c r="D7" t="s">
        <v>15</v>
      </c>
      <c r="E7" s="1" t="s">
        <v>19</v>
      </c>
      <c r="F7">
        <v>50</v>
      </c>
    </row>
    <row r="8" spans="4:8">
      <c r="D8" t="s">
        <v>16</v>
      </c>
      <c r="E8" s="1" t="s">
        <v>20</v>
      </c>
      <c r="F8">
        <v>35</v>
      </c>
    </row>
    <row r="9" spans="4:8">
      <c r="E9" s="5" t="s">
        <v>21</v>
      </c>
      <c r="F9" s="4">
        <f>SUMIF(E4:E8,"cake",F4:F8)</f>
        <v>90</v>
      </c>
    </row>
    <row r="10" spans="4:8">
      <c r="E10" s="6" t="s">
        <v>22</v>
      </c>
      <c r="F10" s="4">
        <f>SUMIF(F4:F8,"&gt;45")</f>
        <v>120</v>
      </c>
    </row>
    <row r="11" spans="4:8">
      <c r="E11" s="7" t="s">
        <v>23</v>
      </c>
      <c r="F11" s="4">
        <f>SUM(F4:F8,100)</f>
        <v>345</v>
      </c>
    </row>
    <row r="12" spans="4:8">
      <c r="E12" s="8" t="s">
        <v>24</v>
      </c>
      <c r="F12" s="4">
        <f>SUMIF(F4:F8,45)</f>
        <v>90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ascent</dc:creator>
  <cp:lastModifiedBy>ascent</cp:lastModifiedBy>
  <dcterms:created xsi:type="dcterms:W3CDTF">2025-12-03T14:37:52Z</dcterms:created>
  <dcterms:modified xsi:type="dcterms:W3CDTF">2025-12-27T13:16:40Z</dcterms:modified>
</cp:coreProperties>
</file>