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21015" windowHeight="94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24" i="2"/>
  <c r="D24"/>
  <c r="E24"/>
  <c r="F24"/>
  <c r="G24"/>
  <c r="H24"/>
  <c r="I24"/>
  <c r="C26"/>
  <c r="C25"/>
  <c r="G23"/>
  <c r="H23"/>
  <c r="I23"/>
  <c r="E23"/>
  <c r="F23"/>
  <c r="D23"/>
  <c r="C2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3"/>
  <c r="D4" i="1"/>
  <c r="G4" s="1"/>
  <c r="I4" s="1"/>
  <c r="E4"/>
  <c r="H4"/>
  <c r="I5"/>
  <c r="I6"/>
  <c r="I7"/>
  <c r="I8"/>
  <c r="H5"/>
  <c r="H6"/>
  <c r="H7"/>
  <c r="H8"/>
  <c r="G5"/>
  <c r="G6"/>
  <c r="G7"/>
  <c r="G8"/>
  <c r="E5"/>
  <c r="E6"/>
  <c r="E7"/>
  <c r="E8"/>
  <c r="D5"/>
  <c r="D6"/>
  <c r="D7"/>
  <c r="D8"/>
</calcChain>
</file>

<file path=xl/sharedStrings.xml><?xml version="1.0" encoding="utf-8"?>
<sst xmlns="http://schemas.openxmlformats.org/spreadsheetml/2006/main" count="45" uniqueCount="43">
  <si>
    <t>EMPLOYEE NAME</t>
  </si>
  <si>
    <t>BASIC SALARY</t>
  </si>
  <si>
    <t>HRA</t>
  </si>
  <si>
    <t>DA</t>
  </si>
  <si>
    <t>OTHER ALLOWANCES</t>
  </si>
  <si>
    <t>GROSS SALARY</t>
  </si>
  <si>
    <t>DEDUCTION</t>
  </si>
  <si>
    <t>NET SALARY</t>
  </si>
  <si>
    <t>KANCHANA</t>
  </si>
  <si>
    <t>RAJINI</t>
  </si>
  <si>
    <t>MOKSHI</t>
  </si>
  <si>
    <t>PRANAVI</t>
  </si>
  <si>
    <t>KRISHNA</t>
  </si>
  <si>
    <t>STUDENT NAME</t>
  </si>
  <si>
    <t>FOC</t>
  </si>
  <si>
    <t>ENGLISH</t>
  </si>
  <si>
    <t>C PROGRAM</t>
  </si>
  <si>
    <t>TELUGU</t>
  </si>
  <si>
    <t>AI</t>
  </si>
  <si>
    <t>TEJASWINI</t>
  </si>
  <si>
    <t>GANESWARI</t>
  </si>
  <si>
    <t>KEERTHI</t>
  </si>
  <si>
    <t>VASAVI</t>
  </si>
  <si>
    <t>SRUJANA</t>
  </si>
  <si>
    <t>CHARITHA</t>
  </si>
  <si>
    <t>DURGA</t>
  </si>
  <si>
    <t>RAMA</t>
  </si>
  <si>
    <t>SATYA</t>
  </si>
  <si>
    <t>PRADEEP</t>
  </si>
  <si>
    <t>KUMAR</t>
  </si>
  <si>
    <t>CHANDU</t>
  </si>
  <si>
    <t>GANESH</t>
  </si>
  <si>
    <t xml:space="preserve">SAI </t>
  </si>
  <si>
    <t>USHA</t>
  </si>
  <si>
    <t>DEVI</t>
  </si>
  <si>
    <t>SUDHA</t>
  </si>
  <si>
    <t>KOWSHIK</t>
  </si>
  <si>
    <t>TOTAL MARKS</t>
  </si>
  <si>
    <t>AVERAGE MARKS</t>
  </si>
  <si>
    <t>MAXIMUM MARKS</t>
  </si>
  <si>
    <t>MINIMUM MARKS</t>
  </si>
  <si>
    <t>TOP SCORER</t>
  </si>
  <si>
    <t>LOW SCORER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</si>
</sst>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8"/>
  <sheetViews>
    <sheetView tabSelected="1" workbookViewId="0">
      <selection activeCell="M20" sqref="M20"/>
    </sheetView>
  </sheetViews>
  <sheetFormatPr defaultRowHeight="15"/>
  <cols>
    <col min="2" max="2" width="18.5703125" customWidth="1"/>
    <col min="3" max="3" width="16.28515625" customWidth="1"/>
    <col min="6" max="6" width="22" customWidth="1"/>
    <col min="7" max="7" width="15.85546875" customWidth="1"/>
    <col min="8" max="8" width="14.140625" customWidth="1"/>
    <col min="9" max="9" width="12.7109375" customWidth="1"/>
  </cols>
  <sheetData>
    <row r="3" spans="2:9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>
      <c r="B4" s="1" t="s">
        <v>8</v>
      </c>
      <c r="C4" s="3">
        <v>50000</v>
      </c>
      <c r="D4" s="3">
        <f>0.2*C4</f>
        <v>10000</v>
      </c>
      <c r="E4" s="3">
        <f>0.1*C4</f>
        <v>5000</v>
      </c>
      <c r="F4" s="3">
        <v>4000</v>
      </c>
      <c r="G4" s="3">
        <f>C4+D4+E4+F4</f>
        <v>69000</v>
      </c>
      <c r="H4" s="3">
        <f>0.05*C4</f>
        <v>2500</v>
      </c>
      <c r="I4" s="3">
        <f>G4-H4</f>
        <v>66500</v>
      </c>
    </row>
    <row r="5" spans="2:9">
      <c r="B5" s="1" t="s">
        <v>9</v>
      </c>
      <c r="C5" s="3">
        <v>43000</v>
      </c>
      <c r="D5" s="3">
        <f t="shared" ref="D5:D8" si="0">0.2*C5</f>
        <v>8600</v>
      </c>
      <c r="E5" s="3">
        <f t="shared" ref="E5:E8" si="1">0.1*C5</f>
        <v>4300</v>
      </c>
      <c r="F5" s="3">
        <v>7600</v>
      </c>
      <c r="G5" s="3">
        <f t="shared" ref="G5:G8" si="2">C5+D5+E5+F5</f>
        <v>63500</v>
      </c>
      <c r="H5" s="3">
        <f t="shared" ref="H5:H8" si="3">0.05*C5</f>
        <v>2150</v>
      </c>
      <c r="I5" s="3">
        <f t="shared" ref="I5:I8" si="4">G5-H5</f>
        <v>61350</v>
      </c>
    </row>
    <row r="6" spans="2:9">
      <c r="B6" s="1" t="s">
        <v>10</v>
      </c>
      <c r="C6" s="3">
        <v>56000</v>
      </c>
      <c r="D6" s="3">
        <f t="shared" si="0"/>
        <v>11200</v>
      </c>
      <c r="E6" s="3">
        <f t="shared" si="1"/>
        <v>5600</v>
      </c>
      <c r="F6" s="3">
        <v>4500</v>
      </c>
      <c r="G6" s="3">
        <f t="shared" si="2"/>
        <v>77300</v>
      </c>
      <c r="H6" s="3">
        <f t="shared" si="3"/>
        <v>2800</v>
      </c>
      <c r="I6" s="3">
        <f t="shared" si="4"/>
        <v>74500</v>
      </c>
    </row>
    <row r="7" spans="2:9">
      <c r="B7" s="1" t="s">
        <v>11</v>
      </c>
      <c r="C7" s="3">
        <v>32000</v>
      </c>
      <c r="D7" s="3">
        <f t="shared" si="0"/>
        <v>6400</v>
      </c>
      <c r="E7" s="3">
        <f t="shared" si="1"/>
        <v>3200</v>
      </c>
      <c r="F7" s="3">
        <v>5000</v>
      </c>
      <c r="G7" s="3">
        <f t="shared" si="2"/>
        <v>46600</v>
      </c>
      <c r="H7" s="3">
        <f t="shared" si="3"/>
        <v>1600</v>
      </c>
      <c r="I7" s="3">
        <f t="shared" si="4"/>
        <v>45000</v>
      </c>
    </row>
    <row r="8" spans="2:9">
      <c r="B8" s="1" t="s">
        <v>12</v>
      </c>
      <c r="C8" s="3">
        <v>45000</v>
      </c>
      <c r="D8" s="3">
        <f t="shared" si="0"/>
        <v>9000</v>
      </c>
      <c r="E8" s="3">
        <f t="shared" si="1"/>
        <v>4500</v>
      </c>
      <c r="F8" s="3">
        <v>3000</v>
      </c>
      <c r="G8" s="3">
        <f t="shared" si="2"/>
        <v>61500</v>
      </c>
      <c r="H8" s="3">
        <f t="shared" si="3"/>
        <v>2250</v>
      </c>
      <c r="I8" s="3">
        <f t="shared" si="4"/>
        <v>59250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I26"/>
  <sheetViews>
    <sheetView workbookViewId="0">
      <selection activeCell="S9" sqref="S9"/>
    </sheetView>
  </sheetViews>
  <sheetFormatPr defaultRowHeight="15"/>
  <cols>
    <col min="2" max="2" width="17.140625" customWidth="1"/>
    <col min="5" max="5" width="12.28515625" customWidth="1"/>
    <col min="8" max="8" width="15.28515625" customWidth="1"/>
    <col min="9" max="9" width="15.42578125" customWidth="1"/>
  </cols>
  <sheetData>
    <row r="2" spans="2:9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37</v>
      </c>
      <c r="I2" s="1" t="s">
        <v>38</v>
      </c>
    </row>
    <row r="3" spans="2:9">
      <c r="B3" t="s">
        <v>8</v>
      </c>
      <c r="C3" s="2">
        <v>93</v>
      </c>
      <c r="D3" s="2">
        <v>87</v>
      </c>
      <c r="E3" s="2">
        <v>90</v>
      </c>
      <c r="F3" s="2">
        <v>96</v>
      </c>
      <c r="G3" s="2">
        <v>94</v>
      </c>
      <c r="H3" s="2">
        <f>SUM(C3:G3)</f>
        <v>460</v>
      </c>
      <c r="I3" s="2">
        <f>AVERAGE(C3:G3)</f>
        <v>92</v>
      </c>
    </row>
    <row r="4" spans="2:9">
      <c r="B4" t="s">
        <v>19</v>
      </c>
      <c r="C4" s="2">
        <v>56</v>
      </c>
      <c r="D4" s="2">
        <v>56</v>
      </c>
      <c r="E4" s="2">
        <v>98</v>
      </c>
      <c r="F4" s="2">
        <v>78</v>
      </c>
      <c r="G4" s="2">
        <v>96</v>
      </c>
      <c r="H4" s="2">
        <f t="shared" ref="H4:H22" si="0">SUM(C4:G4)</f>
        <v>384</v>
      </c>
      <c r="I4" s="2">
        <f t="shared" ref="I4:I22" si="1">AVERAGE(C4:G4)</f>
        <v>76.8</v>
      </c>
    </row>
    <row r="5" spans="2:9">
      <c r="B5" t="s">
        <v>20</v>
      </c>
      <c r="C5" s="2">
        <v>87</v>
      </c>
      <c r="D5" s="2">
        <v>97</v>
      </c>
      <c r="E5" s="2">
        <v>97</v>
      </c>
      <c r="F5" s="2">
        <v>87</v>
      </c>
      <c r="G5" s="2">
        <v>69</v>
      </c>
      <c r="H5" s="2">
        <f t="shared" si="0"/>
        <v>437</v>
      </c>
      <c r="I5" s="2">
        <f t="shared" si="1"/>
        <v>87.4</v>
      </c>
    </row>
    <row r="6" spans="2:9">
      <c r="B6" t="s">
        <v>21</v>
      </c>
      <c r="C6" s="2">
        <v>98</v>
      </c>
      <c r="D6" s="2">
        <v>56</v>
      </c>
      <c r="E6" s="2">
        <v>96</v>
      </c>
      <c r="F6" s="2">
        <v>67</v>
      </c>
      <c r="G6" s="2">
        <v>87</v>
      </c>
      <c r="H6" s="2">
        <f t="shared" si="0"/>
        <v>404</v>
      </c>
      <c r="I6" s="2">
        <f t="shared" si="1"/>
        <v>80.8</v>
      </c>
    </row>
    <row r="7" spans="2:9">
      <c r="B7" t="s">
        <v>22</v>
      </c>
      <c r="C7" s="2">
        <v>65</v>
      </c>
      <c r="D7" s="2">
        <v>47</v>
      </c>
      <c r="E7" s="2">
        <v>95</v>
      </c>
      <c r="F7" s="2">
        <v>76</v>
      </c>
      <c r="G7" s="2">
        <v>80</v>
      </c>
      <c r="H7" s="2">
        <f t="shared" si="0"/>
        <v>363</v>
      </c>
      <c r="I7" s="2">
        <f t="shared" si="1"/>
        <v>72.599999999999994</v>
      </c>
    </row>
    <row r="8" spans="2:9">
      <c r="B8" t="s">
        <v>23</v>
      </c>
      <c r="C8" s="2">
        <v>34</v>
      </c>
      <c r="D8" s="2">
        <v>86</v>
      </c>
      <c r="E8" s="2">
        <v>94</v>
      </c>
      <c r="F8" s="2">
        <v>64</v>
      </c>
      <c r="G8" s="2">
        <v>97</v>
      </c>
      <c r="H8" s="2">
        <f t="shared" si="0"/>
        <v>375</v>
      </c>
      <c r="I8" s="2">
        <f t="shared" si="1"/>
        <v>75</v>
      </c>
    </row>
    <row r="9" spans="2:9">
      <c r="B9" t="s">
        <v>24</v>
      </c>
      <c r="C9" s="2">
        <v>76</v>
      </c>
      <c r="D9" s="2">
        <v>79</v>
      </c>
      <c r="E9" s="2">
        <v>93</v>
      </c>
      <c r="F9" s="2">
        <v>56</v>
      </c>
      <c r="G9" s="2">
        <v>75</v>
      </c>
      <c r="H9" s="2">
        <f t="shared" si="0"/>
        <v>379</v>
      </c>
      <c r="I9" s="2">
        <f t="shared" si="1"/>
        <v>75.8</v>
      </c>
    </row>
    <row r="10" spans="2:9">
      <c r="B10" t="s">
        <v>12</v>
      </c>
      <c r="C10" s="2">
        <v>54</v>
      </c>
      <c r="D10" s="2">
        <v>74</v>
      </c>
      <c r="E10" s="2">
        <v>93</v>
      </c>
      <c r="F10" s="2">
        <v>68</v>
      </c>
      <c r="G10" s="2">
        <v>74</v>
      </c>
      <c r="H10" s="2">
        <f t="shared" si="0"/>
        <v>363</v>
      </c>
      <c r="I10" s="2">
        <f t="shared" si="1"/>
        <v>72.599999999999994</v>
      </c>
    </row>
    <row r="11" spans="2:9">
      <c r="B11" t="s">
        <v>25</v>
      </c>
      <c r="C11" s="2">
        <v>76</v>
      </c>
      <c r="D11" s="2">
        <v>58</v>
      </c>
      <c r="E11" s="2">
        <v>92</v>
      </c>
      <c r="F11" s="2">
        <v>87</v>
      </c>
      <c r="G11" s="2">
        <v>77</v>
      </c>
      <c r="H11" s="2">
        <f t="shared" si="0"/>
        <v>390</v>
      </c>
      <c r="I11" s="2">
        <f t="shared" si="1"/>
        <v>78</v>
      </c>
    </row>
    <row r="12" spans="2:9">
      <c r="B12" t="s">
        <v>26</v>
      </c>
      <c r="C12" s="2">
        <v>47</v>
      </c>
      <c r="D12" s="2">
        <v>70</v>
      </c>
      <c r="E12" s="2">
        <v>91</v>
      </c>
      <c r="F12" s="2">
        <v>76</v>
      </c>
      <c r="G12" s="2">
        <v>65</v>
      </c>
      <c r="H12" s="2">
        <f t="shared" si="0"/>
        <v>349</v>
      </c>
      <c r="I12" s="2">
        <f t="shared" si="1"/>
        <v>69.8</v>
      </c>
    </row>
    <row r="13" spans="2:9">
      <c r="B13" t="s">
        <v>27</v>
      </c>
      <c r="C13" s="2">
        <v>97</v>
      </c>
      <c r="D13" s="2">
        <v>96</v>
      </c>
      <c r="E13" s="2">
        <v>90</v>
      </c>
      <c r="F13" s="2">
        <v>57</v>
      </c>
      <c r="G13" s="2">
        <v>78</v>
      </c>
      <c r="H13" s="2">
        <f t="shared" si="0"/>
        <v>418</v>
      </c>
      <c r="I13" s="2">
        <f t="shared" si="1"/>
        <v>83.6</v>
      </c>
    </row>
    <row r="14" spans="2:9">
      <c r="B14" t="s">
        <v>28</v>
      </c>
      <c r="C14" s="2">
        <v>95</v>
      </c>
      <c r="D14" s="2">
        <v>70</v>
      </c>
      <c r="E14" s="2">
        <v>87</v>
      </c>
      <c r="F14" s="2">
        <v>79</v>
      </c>
      <c r="G14" s="2">
        <v>76</v>
      </c>
      <c r="H14" s="2">
        <f t="shared" si="0"/>
        <v>407</v>
      </c>
      <c r="I14" s="2">
        <f t="shared" si="1"/>
        <v>81.400000000000006</v>
      </c>
    </row>
    <row r="15" spans="2:9">
      <c r="B15" t="s">
        <v>29</v>
      </c>
      <c r="C15" s="2">
        <v>74</v>
      </c>
      <c r="D15" s="2">
        <v>80</v>
      </c>
      <c r="E15" s="2">
        <v>67</v>
      </c>
      <c r="F15" s="2">
        <v>98</v>
      </c>
      <c r="G15" s="2">
        <v>75</v>
      </c>
      <c r="H15" s="2">
        <f t="shared" si="0"/>
        <v>394</v>
      </c>
      <c r="I15" s="2">
        <f t="shared" si="1"/>
        <v>78.8</v>
      </c>
    </row>
    <row r="16" spans="2:9">
      <c r="B16" t="s">
        <v>30</v>
      </c>
      <c r="C16" s="2">
        <v>75</v>
      </c>
      <c r="D16" s="2">
        <v>86</v>
      </c>
      <c r="E16" s="2">
        <v>65</v>
      </c>
      <c r="F16" s="2">
        <v>68</v>
      </c>
      <c r="G16" s="2">
        <v>77</v>
      </c>
      <c r="H16" s="2">
        <f t="shared" si="0"/>
        <v>371</v>
      </c>
      <c r="I16" s="2">
        <f t="shared" si="1"/>
        <v>74.2</v>
      </c>
    </row>
    <row r="17" spans="2:9">
      <c r="B17" t="s">
        <v>32</v>
      </c>
      <c r="C17" s="2">
        <v>86</v>
      </c>
      <c r="D17" s="2">
        <v>84</v>
      </c>
      <c r="E17" s="2">
        <v>54</v>
      </c>
      <c r="F17" s="2">
        <v>80</v>
      </c>
      <c r="G17" s="2">
        <v>88</v>
      </c>
      <c r="H17" s="2">
        <f t="shared" si="0"/>
        <v>392</v>
      </c>
      <c r="I17" s="2">
        <f t="shared" si="1"/>
        <v>78.400000000000006</v>
      </c>
    </row>
    <row r="18" spans="2:9">
      <c r="B18" t="s">
        <v>31</v>
      </c>
      <c r="C18" s="2">
        <v>97</v>
      </c>
      <c r="D18" s="2">
        <v>91</v>
      </c>
      <c r="E18" s="2">
        <v>45</v>
      </c>
      <c r="F18" s="2">
        <v>90</v>
      </c>
      <c r="G18" s="2">
        <v>87</v>
      </c>
      <c r="H18" s="2">
        <f t="shared" si="0"/>
        <v>410</v>
      </c>
      <c r="I18" s="2">
        <f t="shared" si="1"/>
        <v>82</v>
      </c>
    </row>
    <row r="19" spans="2:9">
      <c r="B19" t="s">
        <v>33</v>
      </c>
      <c r="C19" s="2">
        <v>96</v>
      </c>
      <c r="D19" s="2">
        <v>93</v>
      </c>
      <c r="E19" s="2">
        <v>87</v>
      </c>
      <c r="F19" s="2">
        <v>96</v>
      </c>
      <c r="G19" s="2">
        <v>99</v>
      </c>
      <c r="H19" s="2">
        <f t="shared" si="0"/>
        <v>471</v>
      </c>
      <c r="I19" s="2">
        <f t="shared" si="1"/>
        <v>94.2</v>
      </c>
    </row>
    <row r="20" spans="2:9">
      <c r="B20" t="s">
        <v>34</v>
      </c>
      <c r="C20" s="2">
        <v>95</v>
      </c>
      <c r="D20" s="2">
        <v>95</v>
      </c>
      <c r="E20" s="2">
        <v>89</v>
      </c>
      <c r="F20" s="2">
        <v>87</v>
      </c>
      <c r="G20" s="2">
        <v>98</v>
      </c>
      <c r="H20" s="2">
        <f t="shared" si="0"/>
        <v>464</v>
      </c>
      <c r="I20" s="2">
        <f t="shared" si="1"/>
        <v>92.8</v>
      </c>
    </row>
    <row r="21" spans="2:9">
      <c r="B21" t="s">
        <v>35</v>
      </c>
      <c r="C21" s="2">
        <v>57</v>
      </c>
      <c r="D21" s="2">
        <v>97</v>
      </c>
      <c r="E21" s="2">
        <v>78</v>
      </c>
      <c r="F21" s="2">
        <v>46</v>
      </c>
      <c r="G21" s="2">
        <v>54</v>
      </c>
      <c r="H21" s="2">
        <f t="shared" si="0"/>
        <v>332</v>
      </c>
      <c r="I21" s="2">
        <f t="shared" si="1"/>
        <v>66.400000000000006</v>
      </c>
    </row>
    <row r="22" spans="2:9">
      <c r="B22" t="s">
        <v>36</v>
      </c>
      <c r="C22" s="2">
        <v>78</v>
      </c>
      <c r="D22" s="2">
        <v>65</v>
      </c>
      <c r="E22" s="2">
        <v>67</v>
      </c>
      <c r="F22" s="2">
        <v>70</v>
      </c>
      <c r="G22" s="2">
        <v>78</v>
      </c>
      <c r="H22" s="2">
        <f t="shared" si="0"/>
        <v>358</v>
      </c>
      <c r="I22" s="2">
        <f t="shared" si="1"/>
        <v>71.599999999999994</v>
      </c>
    </row>
    <row r="23" spans="2:9">
      <c r="B23" s="1" t="s">
        <v>39</v>
      </c>
      <c r="C23" s="4">
        <f>MAX(C3:C22)</f>
        <v>98</v>
      </c>
      <c r="D23" s="4">
        <f>MAX(D3:D22)</f>
        <v>97</v>
      </c>
      <c r="E23" s="4">
        <f t="shared" ref="E23:F23" si="2">MAX(E3:E22)</f>
        <v>98</v>
      </c>
      <c r="F23" s="4">
        <f t="shared" si="2"/>
        <v>98</v>
      </c>
      <c r="G23" s="4">
        <f>MAX(G3:G22)</f>
        <v>99</v>
      </c>
      <c r="H23" s="4">
        <f t="shared" ref="H23" si="3">MAX(H3:H22)</f>
        <v>471</v>
      </c>
      <c r="I23" s="4">
        <f t="shared" ref="I23" si="4">MAX(I3:I22)</f>
        <v>94.2</v>
      </c>
    </row>
    <row r="24" spans="2:9">
      <c r="B24" s="1" t="s">
        <v>40</v>
      </c>
      <c r="C24" s="4">
        <f>MIN(C3:C22)</f>
        <v>34</v>
      </c>
      <c r="D24" s="4">
        <f t="shared" ref="D24:I24" si="5">MIN(D3:D22)</f>
        <v>47</v>
      </c>
      <c r="E24" s="4">
        <f t="shared" si="5"/>
        <v>45</v>
      </c>
      <c r="F24" s="4">
        <f t="shared" si="5"/>
        <v>46</v>
      </c>
      <c r="G24" s="4">
        <f t="shared" si="5"/>
        <v>54</v>
      </c>
      <c r="H24" s="4">
        <f t="shared" si="5"/>
        <v>332</v>
      </c>
      <c r="I24" s="4">
        <f t="shared" si="5"/>
        <v>66.400000000000006</v>
      </c>
    </row>
    <row r="25" spans="2:9">
      <c r="B25" s="1" t="s">
        <v>41</v>
      </c>
      <c r="C25" t="str">
        <f>INDEX(B3:B22,MATCH(MAX(H3:H22),H3:H22,0))</f>
        <v>USHA</v>
      </c>
    </row>
    <row r="26" spans="2:9">
      <c r="B26" s="1" t="s">
        <v>42</v>
      </c>
      <c r="C26" t="str">
        <f>INDEX(B3:B22,MATCH(MIN(H3:H22),H3:H22,0))</f>
        <v>SUDHA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2025-12-31T12:31:59Z</dcterms:created>
  <dcterms:modified xsi:type="dcterms:W3CDTF">2025-12-31T13:04:47Z</dcterms:modified>
</cp:coreProperties>
</file>